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SUSTeK\Documents\"/>
    </mc:Choice>
  </mc:AlternateContent>
  <xr:revisionPtr revIDLastSave="0" documentId="13_ncr:1_{AB787BFF-0CF8-4141-A382-0CFA25FC9F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</workbook>
</file>

<file path=xl/calcChain.xml><?xml version="1.0" encoding="utf-8"?>
<calcChain xmlns="http://schemas.openxmlformats.org/spreadsheetml/2006/main">
  <c r="R16" i="4" l="1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A17" i="4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</calcChain>
</file>

<file path=xl/sharedStrings.xml><?xml version="1.0" encoding="utf-8"?>
<sst xmlns="http://schemas.openxmlformats.org/spreadsheetml/2006/main" count="31" uniqueCount="30">
  <si>
    <t>PTIK</t>
  </si>
  <si>
    <t>SEMESTER GANJIL T.A 2024/2025</t>
  </si>
  <si>
    <t>DAFTAR HADIR MAHASISWA</t>
  </si>
  <si>
    <t>NO</t>
  </si>
  <si>
    <t>NIM</t>
  </si>
  <si>
    <t>NAMA MAHASISWA</t>
  </si>
  <si>
    <t>PERTEMUAN KE</t>
  </si>
  <si>
    <t>TOTAL</t>
  </si>
  <si>
    <t>Maulana Septiawan</t>
  </si>
  <si>
    <t>Arief Burhan</t>
  </si>
  <si>
    <t>Alvina Damayanti</t>
  </si>
  <si>
    <t>Asep Saefudin</t>
  </si>
  <si>
    <t>Muhammad Said Eriyanto</t>
  </si>
  <si>
    <t>Nur As Sifatul Baroro</t>
  </si>
  <si>
    <t>Maya Syafira</t>
  </si>
  <si>
    <t>M.Haidar Bagir</t>
  </si>
  <si>
    <t>Pandu Satria</t>
  </si>
  <si>
    <t>Intan Putri Navy Aulia</t>
  </si>
  <si>
    <t>Siti Anisa</t>
  </si>
  <si>
    <t>Jakariya</t>
  </si>
  <si>
    <t>Dhila Husnul Nurpadilah</t>
  </si>
  <si>
    <t>Jaenudin</t>
  </si>
  <si>
    <t>Mahardika Akbar Utomo</t>
  </si>
  <si>
    <t>JUMLAH</t>
  </si>
  <si>
    <t>Nama Guru</t>
  </si>
  <si>
    <t>Teknik Jaringan Berbasis Luas</t>
  </si>
  <si>
    <t>Mata Pelajaran</t>
  </si>
  <si>
    <t>Kelas</t>
  </si>
  <si>
    <t>X</t>
  </si>
  <si>
    <t xml:space="preserve">Semester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</si>
</sst>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d/m"/>
  </numFmts>
  <fonts count="11">
    <font>
      <sz val="10"/>
      <color rgb="FF000000"/>
      <name val="Arial"/>
      <scheme val="minor"/>
    </font>
    <font>
      <b/>
      <sz val="12"/>
      <color theme="1"/>
      <name val="Cambria"/>
    </font>
    <font>
      <sz val="10"/>
      <name val="Arial"/>
    </font>
    <font>
      <b/>
      <sz val="12"/>
      <color rgb="FF000000"/>
      <name val="&quot;Times New Roman&quot;"/>
    </font>
    <font>
      <b/>
      <sz val="11"/>
      <color rgb="FF000000"/>
      <name val="&quot;Times New Roman&quot;"/>
    </font>
    <font>
      <sz val="10"/>
      <color theme="1"/>
      <name val="Arial"/>
      <scheme val="minor"/>
    </font>
    <font>
      <b/>
      <sz val="12"/>
      <color rgb="FF000000"/>
      <name val="Cambria"/>
    </font>
    <font>
      <sz val="10"/>
      <color rgb="FF000000"/>
      <name val="Arial"/>
    </font>
    <font>
      <b/>
      <sz val="10"/>
      <color rgb="FF000000"/>
      <name val="Arial"/>
    </font>
    <font>
      <sz val="12"/>
      <color rgb="FF000000"/>
      <name val="&quot;Times New Roman&quot;"/>
    </font>
    <font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7" fillId="0" borderId="0" xfId="0" applyFont="1"/>
    <xf numFmtId="0" fontId="7" fillId="0" borderId="1" xfId="0" applyFont="1" applyBorder="1"/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6" xfId="0" applyFont="1" applyBorder="1"/>
    <xf numFmtId="0" fontId="9" fillId="2" borderId="10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0" fillId="0" borderId="10" xfId="0" applyFont="1" applyBorder="1" applyAlignment="1">
      <alignment horizontal="center"/>
    </xf>
    <xf numFmtId="0" fontId="10" fillId="0" borderId="3" xfId="0" applyFont="1" applyBorder="1"/>
    <xf numFmtId="0" fontId="5" fillId="0" borderId="7" xfId="0" applyFont="1" applyBorder="1"/>
    <xf numFmtId="0" fontId="2" fillId="0" borderId="3" xfId="0" applyFont="1" applyBorder="1"/>
    <xf numFmtId="0" fontId="2" fillId="0" borderId="1" xfId="0" applyFont="1" applyBorder="1"/>
    <xf numFmtId="0" fontId="4" fillId="2" borderId="4" xfId="0" applyFont="1" applyFill="1" applyBorder="1" applyAlignment="1">
      <alignment horizontal="left" vertical="top"/>
    </xf>
    <xf numFmtId="0" fontId="2" fillId="0" borderId="5" xfId="0" applyFont="1" applyBorder="1"/>
    <xf numFmtId="0" fontId="2" fillId="0" borderId="6" xfId="0" applyFont="1" applyBorder="1"/>
    <xf numFmtId="0" fontId="1" fillId="0" borderId="1" xfId="0" applyFont="1" applyBorder="1" applyAlignment="1">
      <alignment horizontal="left"/>
    </xf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9" xfId="0" applyFont="1" applyBorder="1"/>
    <xf numFmtId="0" fontId="6" fillId="0" borderId="2" xfId="0" applyFont="1" applyBorder="1"/>
    <xf numFmtId="0" fontId="6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/>
    <xf numFmtId="0" fontId="2" fillId="0" borderId="10" xfId="0" applyFont="1" applyBorder="1"/>
    <xf numFmtId="0" fontId="6" fillId="0" borderId="2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2" fillId="0" borderId="2" xfId="0" applyFont="1" applyBorder="1"/>
    <xf numFmtId="0" fontId="7" fillId="0" borderId="9" xfId="0" applyFont="1" applyBorder="1" applyAlignment="1">
      <alignment horizontal="center" vertical="center"/>
    </xf>
    <xf numFmtId="0" fontId="3" fillId="2" borderId="6" xfId="0" applyFont="1" applyFill="1" applyBorder="1"/>
    <xf numFmtId="0" fontId="6" fillId="0" borderId="12" xfId="0" applyFont="1" applyBorder="1"/>
    <xf numFmtId="0" fontId="2" fillId="0" borderId="12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Absensi Mahasisw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F9A7-284F-4154-879B-44BEF86B6EDB}">
  <sheetPr codeName="Sheet1"/>
  <dimension ref="A4:U33"/>
  <sheetViews>
    <sheetView tabSelected="1" zoomScale="80" workbookViewId="0">
      <selection activeCell="G14" sqref="G14"/>
    </sheetView>
  </sheetViews>
  <sheetFormatPr defaultRowHeight="12.75"/>
  <cols>
    <col min="1" max="1" width="9.28515625" bestFit="1" customWidth="1"/>
    <col min="2" max="2" width="11.5703125" bestFit="1" customWidth="1"/>
    <col min="3" max="3" width="27.5703125" bestFit="1" customWidth="1"/>
    <col min="4" max="4" width="10" customWidth="1"/>
    <col min="5" max="16" width="9.28515625" bestFit="1" customWidth="1"/>
  </cols>
  <sheetData>
    <row r="4" spans="1:21" ht="15.75">
      <c r="D4" s="2" t="s">
        <v>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5.75">
      <c r="D5" s="2" t="s"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5.75"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>
      <c r="A7" s="44" t="s">
        <v>26</v>
      </c>
      <c r="B7" s="45"/>
      <c r="C7" s="45"/>
      <c r="D7" s="43" t="s">
        <v>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4"/>
    </row>
    <row r="8" spans="1:21" ht="15.75">
      <c r="A8" s="34" t="s">
        <v>27</v>
      </c>
      <c r="B8" s="25"/>
      <c r="C8" s="24"/>
      <c r="D8" s="35" t="s">
        <v>28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8"/>
    </row>
    <row r="9" spans="1:21" ht="15.75">
      <c r="A9" s="34" t="s">
        <v>24</v>
      </c>
      <c r="B9" s="25"/>
      <c r="C9" s="24"/>
      <c r="D9" s="26" t="s">
        <v>12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8"/>
    </row>
    <row r="10" spans="1:21" ht="15.75">
      <c r="A10" s="34" t="s">
        <v>29</v>
      </c>
      <c r="B10" s="25"/>
      <c r="C10" s="24"/>
      <c r="D10" s="29">
        <v>1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4"/>
    </row>
    <row r="11" spans="1:2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2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21" ht="15.75">
      <c r="A13" s="36" t="s">
        <v>3</v>
      </c>
      <c r="B13" s="32" t="s">
        <v>4</v>
      </c>
      <c r="C13" s="32" t="s">
        <v>5</v>
      </c>
      <c r="D13" s="31" t="s">
        <v>6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4"/>
      <c r="R13" s="32" t="s">
        <v>7</v>
      </c>
    </row>
    <row r="14" spans="1:21" ht="15.75">
      <c r="A14" s="37"/>
      <c r="B14" s="33"/>
      <c r="C14" s="33"/>
      <c r="D14" s="7">
        <v>1</v>
      </c>
      <c r="E14" s="7">
        <v>2</v>
      </c>
      <c r="F14" s="7">
        <v>3</v>
      </c>
      <c r="G14" s="8">
        <v>4</v>
      </c>
      <c r="H14" s="7">
        <v>5</v>
      </c>
      <c r="I14" s="7">
        <v>6</v>
      </c>
      <c r="J14" s="7">
        <v>7</v>
      </c>
      <c r="K14" s="7">
        <v>8</v>
      </c>
      <c r="L14" s="7">
        <v>9</v>
      </c>
      <c r="M14" s="7">
        <v>10</v>
      </c>
      <c r="N14" s="7">
        <v>11</v>
      </c>
      <c r="O14" s="7">
        <v>12</v>
      </c>
      <c r="P14" s="7">
        <v>13</v>
      </c>
      <c r="Q14" s="7">
        <v>14</v>
      </c>
      <c r="R14" s="33"/>
    </row>
    <row r="15" spans="1:21">
      <c r="A15" s="38"/>
      <c r="B15" s="24"/>
      <c r="C15" s="24"/>
      <c r="D15" s="9">
        <v>45561</v>
      </c>
      <c r="E15" s="9">
        <v>45568</v>
      </c>
      <c r="F15" s="9">
        <v>45575</v>
      </c>
      <c r="G15" s="9">
        <v>45582</v>
      </c>
      <c r="H15" s="9">
        <v>45589</v>
      </c>
      <c r="I15" s="9">
        <v>45596</v>
      </c>
      <c r="J15" s="9">
        <v>45603</v>
      </c>
      <c r="K15" s="9">
        <v>45617</v>
      </c>
      <c r="L15" s="9">
        <v>45624</v>
      </c>
      <c r="M15" s="9">
        <v>45631</v>
      </c>
      <c r="N15" s="9">
        <v>45638</v>
      </c>
      <c r="O15" s="9">
        <v>45645</v>
      </c>
      <c r="P15" s="9"/>
      <c r="Q15" s="9"/>
      <c r="R15" s="24"/>
    </row>
    <row r="16" spans="1:21" ht="15.75">
      <c r="A16" s="10">
        <v>1</v>
      </c>
      <c r="B16" s="11">
        <v>12322001</v>
      </c>
      <c r="C16" s="12" t="s">
        <v>8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4">
        <f>COUNTIF(D16:Q16,TRUE)</f>
        <v>0</v>
      </c>
    </row>
    <row r="17" spans="1:18" ht="15.75">
      <c r="A17" s="10">
        <f>A16+1</f>
        <v>2</v>
      </c>
      <c r="B17" s="15">
        <v>12322014</v>
      </c>
      <c r="C17" s="16" t="s">
        <v>9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4">
        <f t="shared" ref="R17:R30" si="0">COUNTIF(D17:Q17,hadir)</f>
        <v>0</v>
      </c>
    </row>
    <row r="18" spans="1:18" ht="15.75">
      <c r="A18" s="10">
        <f>A17+1</f>
        <v>3</v>
      </c>
      <c r="B18" s="15">
        <v>12322045</v>
      </c>
      <c r="C18" s="16" t="s">
        <v>10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4">
        <f t="shared" si="0"/>
        <v>0</v>
      </c>
    </row>
    <row r="19" spans="1:18" ht="15.75">
      <c r="A19" s="10">
        <f>A18+1</f>
        <v>4</v>
      </c>
      <c r="B19" s="15">
        <v>12322048</v>
      </c>
      <c r="C19" s="16" t="s">
        <v>11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4">
        <f t="shared" si="0"/>
        <v>0</v>
      </c>
    </row>
    <row r="20" spans="1:18" ht="15.75">
      <c r="A20" s="10">
        <f>A19+1</f>
        <v>5</v>
      </c>
      <c r="B20" s="15">
        <v>12322055</v>
      </c>
      <c r="C20" s="16" t="s">
        <v>12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4">
        <f t="shared" si="0"/>
        <v>0</v>
      </c>
    </row>
    <row r="21" spans="1:18" ht="15.75">
      <c r="A21" s="10">
        <f>A20+1</f>
        <v>6</v>
      </c>
      <c r="B21" s="15">
        <v>12322075</v>
      </c>
      <c r="C21" s="16" t="s">
        <v>13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4">
        <f t="shared" si="0"/>
        <v>0</v>
      </c>
    </row>
    <row r="22" spans="1:18" ht="15.75">
      <c r="A22" s="10">
        <f>A21+1</f>
        <v>7</v>
      </c>
      <c r="B22" s="15">
        <v>12322076</v>
      </c>
      <c r="C22" s="16" t="s">
        <v>14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4">
        <f t="shared" si="0"/>
        <v>0</v>
      </c>
    </row>
    <row r="23" spans="1:18" ht="15.75">
      <c r="A23" s="10">
        <f>A22+1</f>
        <v>8</v>
      </c>
      <c r="B23" s="15">
        <v>12322096</v>
      </c>
      <c r="C23" s="16" t="s">
        <v>15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4">
        <f t="shared" si="0"/>
        <v>0</v>
      </c>
    </row>
    <row r="24" spans="1:18" ht="15.75">
      <c r="A24" s="10">
        <f>A23+1</f>
        <v>9</v>
      </c>
      <c r="B24" s="15">
        <v>12322156</v>
      </c>
      <c r="C24" s="16" t="s">
        <v>16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4">
        <f t="shared" si="0"/>
        <v>0</v>
      </c>
    </row>
    <row r="25" spans="1:18" ht="15.75">
      <c r="A25" s="10">
        <f>A24+1</f>
        <v>10</v>
      </c>
      <c r="B25" s="15">
        <v>12322160</v>
      </c>
      <c r="C25" s="16" t="s">
        <v>17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4">
        <f t="shared" si="0"/>
        <v>0</v>
      </c>
    </row>
    <row r="26" spans="1:18" ht="15.75">
      <c r="A26" s="10">
        <f>A25+1</f>
        <v>11</v>
      </c>
      <c r="B26" s="11">
        <v>12122046</v>
      </c>
      <c r="C26" s="17" t="s">
        <v>18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4">
        <f t="shared" si="0"/>
        <v>0</v>
      </c>
    </row>
    <row r="27" spans="1:18" ht="15.75">
      <c r="A27" s="10">
        <f>A26+1</f>
        <v>12</v>
      </c>
      <c r="B27" s="11">
        <v>12322164</v>
      </c>
      <c r="C27" s="12" t="s">
        <v>19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4">
        <f t="shared" si="0"/>
        <v>0</v>
      </c>
    </row>
    <row r="28" spans="1:18" ht="15.75">
      <c r="A28" s="10">
        <f>A27+1</f>
        <v>13</v>
      </c>
      <c r="B28" s="18">
        <v>12322166</v>
      </c>
      <c r="C28" s="19" t="s">
        <v>20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4">
        <f t="shared" si="0"/>
        <v>0</v>
      </c>
    </row>
    <row r="29" spans="1:18" ht="15.75">
      <c r="A29" s="10">
        <f>A28+1</f>
        <v>14</v>
      </c>
      <c r="B29" s="11">
        <v>12322043</v>
      </c>
      <c r="C29" s="20" t="s">
        <v>21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>
        <f t="shared" si="0"/>
        <v>0</v>
      </c>
    </row>
    <row r="30" spans="1:18" ht="15.75">
      <c r="A30" s="10">
        <f>A29+1</f>
        <v>15</v>
      </c>
      <c r="B30" s="21">
        <v>12323111</v>
      </c>
      <c r="C30" s="22" t="s">
        <v>22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4">
        <f t="shared" si="0"/>
        <v>0</v>
      </c>
    </row>
    <row r="31" spans="1:18" ht="15.75">
      <c r="A31" s="39" t="s">
        <v>23</v>
      </c>
      <c r="B31" s="25"/>
      <c r="C31" s="24"/>
      <c r="D31" s="14">
        <f>COUNTIF(D16:D30,TRUE)</f>
        <v>0</v>
      </c>
      <c r="E31" s="14">
        <f>COUNTIF(E16:E30,TRUE)</f>
        <v>0</v>
      </c>
      <c r="F31" s="14">
        <f>COUNTIF(F16:F30,TRUE)</f>
        <v>0</v>
      </c>
      <c r="G31" s="14">
        <f>COUNTIF(G16:G30,TRUE)</f>
        <v>0</v>
      </c>
      <c r="H31" s="14">
        <f>COUNTIF(H16:H30,TRUE)</f>
        <v>0</v>
      </c>
      <c r="I31" s="14">
        <f>COUNTIF(I16:I30,TRUE)</f>
        <v>0</v>
      </c>
      <c r="J31" s="14">
        <f>COUNTIF(J16:J30,TRUE)</f>
        <v>0</v>
      </c>
      <c r="K31" s="14">
        <f>COUNTIF(K16:K30,TRUE)</f>
        <v>0</v>
      </c>
      <c r="L31" s="14">
        <f>COUNTIF(L16:L30,TRUE)</f>
        <v>0</v>
      </c>
      <c r="M31" s="14">
        <f>COUNTIF(M16:M30,TRUE)</f>
        <v>0</v>
      </c>
      <c r="N31" s="14">
        <f>COUNTIF(N16:N30,TRUE)</f>
        <v>0</v>
      </c>
      <c r="O31" s="14">
        <f>COUNTIF(O16:O30,TRUE)</f>
        <v>0</v>
      </c>
      <c r="P31" s="14">
        <f>COUNTIF(P16:P30,TRUE)</f>
        <v>0</v>
      </c>
      <c r="Q31" s="14">
        <f>COUNTIF(Q16:Q30,TRUE)</f>
        <v>0</v>
      </c>
      <c r="R31" s="23">
        <f>R16+R30</f>
        <v>0</v>
      </c>
    </row>
    <row r="32" spans="1:18">
      <c r="A32" s="40"/>
      <c r="B32" s="30"/>
      <c r="C32" s="33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</row>
    <row r="33" spans="1:18">
      <c r="A33" s="41"/>
      <c r="B33" s="25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</row>
  </sheetData>
  <mergeCells count="29">
    <mergeCell ref="A7:C7"/>
    <mergeCell ref="A8:C8"/>
    <mergeCell ref="D8:R8"/>
    <mergeCell ref="D9:R9"/>
    <mergeCell ref="D10:R10"/>
    <mergeCell ref="D13:Q13"/>
    <mergeCell ref="R13:R15"/>
    <mergeCell ref="A9:C9"/>
    <mergeCell ref="A10:C10"/>
    <mergeCell ref="A13:A15"/>
    <mergeCell ref="B13:B15"/>
    <mergeCell ref="F32:F33"/>
    <mergeCell ref="G32:G33"/>
    <mergeCell ref="H32:H33"/>
    <mergeCell ref="I32:I33"/>
    <mergeCell ref="Q32:Q33"/>
    <mergeCell ref="C13:C15"/>
    <mergeCell ref="A31:C31"/>
    <mergeCell ref="A32:C33"/>
    <mergeCell ref="D32:D33"/>
    <mergeCell ref="E32:E33"/>
    <mergeCell ref="R32:R33"/>
    <mergeCell ref="J32:J33"/>
    <mergeCell ref="K32:K33"/>
    <mergeCell ref="L32:L33"/>
    <mergeCell ref="M32:M33"/>
    <mergeCell ref="N32:N33"/>
    <mergeCell ref="O32:O33"/>
    <mergeCell ref="P32:P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ASUSTeK</dc:creator>
  <cp:lastModifiedBy>Muh Said Eriyanto</cp:lastModifiedBy>
  <dcterms:created xsi:type="dcterms:W3CDTF">2025-01-01T15:02:16Z</dcterms:created>
  <dcterms:modified xsi:type="dcterms:W3CDTF">2025-01-01T15:05:00Z</dcterms:modified>
</cp:coreProperties>
</file>